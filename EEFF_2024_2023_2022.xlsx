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https://d.docs.live.net/2b5c4e576cae56cd/Escritorio/Power Bi/Proyecto 2/"/>
    </mc:Choice>
  </mc:AlternateContent>
  <xr:revisionPtr revIDLastSave="7" documentId="8_{8A24EE9E-8D2F-4DE7-B42E-E6BB5750B0DA}" xr6:coauthVersionLast="47" xr6:coauthVersionMax="47" xr10:uidLastSave="{5FDDF640-5C62-415B-83AB-AF8E9A49304C}"/>
  <bookViews>
    <workbookView xWindow="-120" yWindow="-120" windowWidth="20730" windowHeight="11040" xr2:uid="{16898CB2-73E7-4A6B-9339-3E8B411F2406}"/>
  </bookViews>
  <sheets>
    <sheet name="EEFF_datos" sheetId="1" r:id="rId1"/>
    <sheet name="Ratios_definicio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  <c r="E32" i="1"/>
  <c r="D32" i="1"/>
</calcChain>
</file>

<file path=xl/sharedStrings.xml><?xml version="1.0" encoding="utf-8"?>
<sst xmlns="http://schemas.openxmlformats.org/spreadsheetml/2006/main" count="71" uniqueCount="46">
  <si>
    <t>Cuenta</t>
  </si>
  <si>
    <t> 31/12/2024</t>
  </si>
  <si>
    <t> 31/12/2023</t>
  </si>
  <si>
    <t> 31/12/2022</t>
  </si>
  <si>
    <t>Pasivo Corriente</t>
  </si>
  <si>
    <t>Patrimonio</t>
  </si>
  <si>
    <t>Ganancias</t>
  </si>
  <si>
    <t>Ingresos por Ventas de Bienes y/o Servicios</t>
  </si>
  <si>
    <t>Pérdidas</t>
  </si>
  <si>
    <t>Créditos a Largo Plazo</t>
  </si>
  <si>
    <t>Inventarios</t>
  </si>
  <si>
    <t>Proveedores</t>
  </si>
  <si>
    <t>Caja y Equivalentes</t>
  </si>
  <si>
    <t>Cuentas a Cobrar</t>
  </si>
  <si>
    <t>Activo Corriente</t>
  </si>
  <si>
    <t>Pasivo no Corriente</t>
  </si>
  <si>
    <t>Activo no corriente</t>
  </si>
  <si>
    <t>Otros Créditos</t>
  </si>
  <si>
    <t>Otros Activos Corrientes</t>
  </si>
  <si>
    <t>Propiedad, Planta y Equipo </t>
  </si>
  <si>
    <t>Intangible</t>
  </si>
  <si>
    <t>Obligaciones Fiscales</t>
  </si>
  <si>
    <t>Otras Obligaciones</t>
  </si>
  <si>
    <t>Provisiones</t>
  </si>
  <si>
    <t>Otras Obligaciones </t>
  </si>
  <si>
    <t>Impuestos Diferidos</t>
  </si>
  <si>
    <t>Provisiones </t>
  </si>
  <si>
    <t>Gastos Financieros </t>
  </si>
  <si>
    <t>Capital Social Realizado </t>
  </si>
  <si>
    <t>Reservas de Capital </t>
  </si>
  <si>
    <t>Reserva Legal </t>
  </si>
  <si>
    <t>Reserva de Retencion de Beneficios</t>
  </si>
  <si>
    <t>Costo de Bienes y/o Servicios Vendidos</t>
  </si>
  <si>
    <t>Gastos de Ventas</t>
  </si>
  <si>
    <t>Gastos Generales y Administracion</t>
  </si>
  <si>
    <t>Otros Ingresos Operativos</t>
  </si>
  <si>
    <t>Otros Gastos Operativos</t>
  </si>
  <si>
    <t>Ingresos Financieros</t>
  </si>
  <si>
    <t>Rubro</t>
  </si>
  <si>
    <t>Obligaciones Laborales</t>
  </si>
  <si>
    <t>Prestamos y Financ</t>
  </si>
  <si>
    <t>Ajustes al Patrimonio</t>
  </si>
  <si>
    <t>Texto para informe</t>
  </si>
  <si>
    <t>Razón de Deuda: proporción de los activos de la empresa está financiada con deuda.
Fórmula: Pasivo Total / Activo Total.
Valor de referencia: Entre 0.4 y 0.6</t>
  </si>
  <si>
    <t>Liquidez Inmediata: capacidad para pagar deudas a corto plazo usando solo sus activos más líquidos. 
Fórmula: Caja y Equivalentes / Pasivo Corriente.
Valor de referencia: entre 0.8 y 1.0</t>
  </si>
  <si>
    <t>Razón Corriente: capacidad para cubrir obligaciones a corto plazo con sus activos corrientes.
Fórmula: Activo Corriente / Pasivo Corriente. 
Valor de referencia: Entre 1.5 y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</si>
</sst>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C0A]General"/>
    <numFmt numFmtId="165" formatCode="&quot; &quot;#,##0.00&quot; &quot;;&quot;-&quot;#,##0.00&quot; &quot;;&quot; -&quot;#&quot; &quot;;&quot; &quot;@&quot; &quot;"/>
    <numFmt numFmtId="166" formatCode="#,##0.00_ ;\-#,##0.00\ 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color theme="0"/>
      <name val="Arial"/>
      <family val="2"/>
    </font>
    <font>
      <sz val="12"/>
      <color rgb="FF424242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5" fontId="2" fillId="0" borderId="0"/>
  </cellStyleXfs>
  <cellXfs count="12">
    <xf numFmtId="0" fontId="0" fillId="0" borderId="0" xfId="0"/>
    <xf numFmtId="0" fontId="3" fillId="0" borderId="0" xfId="0" applyFont="1"/>
    <xf numFmtId="164" fontId="3" fillId="0" borderId="0" xfId="2" applyFont="1" applyAlignment="1">
      <alignment horizontal="left" vertical="center"/>
    </xf>
    <xf numFmtId="164" fontId="3" fillId="0" borderId="0" xfId="2" applyFont="1" applyAlignment="1">
      <alignment horizontal="left" vertical="center" wrapText="1"/>
    </xf>
    <xf numFmtId="0" fontId="4" fillId="0" borderId="0" xfId="0" applyFont="1"/>
    <xf numFmtId="164" fontId="4" fillId="0" borderId="0" xfId="2" applyFont="1"/>
    <xf numFmtId="43" fontId="4" fillId="0" borderId="0" xfId="1" applyFont="1" applyFill="1" applyBorder="1" applyAlignment="1">
      <alignment horizontal="center" vertical="center" wrapText="1"/>
    </xf>
    <xf numFmtId="43" fontId="3" fillId="0" borderId="0" xfId="1" applyFont="1" applyFill="1" applyBorder="1" applyAlignment="1">
      <alignment vertical="center"/>
    </xf>
    <xf numFmtId="43" fontId="0" fillId="0" borderId="0" xfId="1" applyFont="1"/>
    <xf numFmtId="0" fontId="5" fillId="2" borderId="1" xfId="0" applyFont="1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left" vertical="center" wrapText="1" indent="1"/>
    </xf>
    <xf numFmtId="166" fontId="3" fillId="0" borderId="0" xfId="1" applyNumberFormat="1" applyFont="1" applyFill="1" applyBorder="1" applyAlignment="1">
      <alignment vertical="center"/>
    </xf>
  </cellXfs>
  <cellStyles count="4">
    <cellStyle name="Excel Built-in Comma" xfId="3" xr:uid="{637261F1-DC57-41BE-99ED-4DCEFF5C321F}"/>
    <cellStyle name="Excel Built-in Normal" xfId="2" xr:uid="{0D4F90C9-DE7E-4A87-A904-ACE3C09218EB}"/>
    <cellStyle name="Millares" xfId="1" builtinId="3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6" formatCode="#,##0.00_ ;\-#,##0.0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18D16C-B993-4139-83E4-096AC1FB655B}" name="EEFF_datos" displayName="EEFF_datos" ref="A1:E32" totalsRowShown="0" headerRowDxfId="6" dataDxfId="5" headerRowCellStyle="Millares" dataCellStyle="Millares">
  <tableColumns count="5">
    <tableColumn id="1" xr3:uid="{59558218-7822-4945-9CC0-0134F207664B}" name="Rubro" dataDxfId="4" dataCellStyle="Excel Built-in Normal"/>
    <tableColumn id="2" xr3:uid="{2786A9BD-2E73-4899-9314-1A2709C1FA7E}" name="Cuenta" dataDxfId="3" dataCellStyle="Excel Built-in Normal"/>
    <tableColumn id="3" xr3:uid="{0DC25545-02D6-416B-9C22-C5981B79B298}" name=" 31/12/2024" dataDxfId="2" dataCellStyle="Millares"/>
    <tableColumn id="4" xr3:uid="{0BAD175C-895B-4DD1-A128-C8AE4E0FA844}" name=" 31/12/2023" dataDxfId="1" dataCellStyle="Millares"/>
    <tableColumn id="5" xr3:uid="{905E9206-6851-4788-9B0B-C08DE7810F18}" name=" 31/12/2022" dataDxfId="0" dataCellStyle="Millares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16DA19-0E7B-40A9-9E84-4F0300BDD55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d249389-06e8-434e-a98f-bca166fae56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B053-722B-4F73-9AC4-57C461D97C92}">
  <dimension ref="A1:E32"/>
  <sheetViews>
    <sheetView tabSelected="1" zoomScaleNormal="100" workbookViewId="0">
      <selection activeCell="F8" sqref="F8"/>
    </sheetView>
  </sheetViews>
  <sheetFormatPr baseColWidth="10" defaultRowHeight="14.25"/>
  <cols>
    <col min="1" max="1" width="20.75" bestFit="1" customWidth="1"/>
    <col min="2" max="2" width="46" bestFit="1" customWidth="1"/>
    <col min="3" max="5" width="16.25" style="8" customWidth="1"/>
  </cols>
  <sheetData>
    <row r="1" spans="1:5" ht="15.75">
      <c r="A1" s="4" t="s">
        <v>38</v>
      </c>
      <c r="B1" s="5" t="s">
        <v>0</v>
      </c>
      <c r="C1" s="6" t="s">
        <v>1</v>
      </c>
      <c r="D1" s="6" t="s">
        <v>2</v>
      </c>
      <c r="E1" s="6" t="s">
        <v>3</v>
      </c>
    </row>
    <row r="2" spans="1:5" ht="15">
      <c r="A2" s="2" t="s">
        <v>14</v>
      </c>
      <c r="B2" s="2" t="s">
        <v>12</v>
      </c>
      <c r="C2" s="11">
        <v>39541</v>
      </c>
      <c r="D2" s="7">
        <v>24664</v>
      </c>
      <c r="E2" s="7">
        <v>35163</v>
      </c>
    </row>
    <row r="3" spans="1:5" ht="15">
      <c r="A3" s="2" t="s">
        <v>14</v>
      </c>
      <c r="B3" s="2" t="s">
        <v>13</v>
      </c>
      <c r="C3" s="11">
        <v>124006</v>
      </c>
      <c r="D3" s="7">
        <v>102557</v>
      </c>
      <c r="E3" s="7">
        <v>104548</v>
      </c>
    </row>
    <row r="4" spans="1:5" ht="15">
      <c r="A4" s="2" t="s">
        <v>14</v>
      </c>
      <c r="B4" s="2" t="s">
        <v>10</v>
      </c>
      <c r="C4" s="11">
        <v>139411</v>
      </c>
      <c r="D4" s="7">
        <v>178569</v>
      </c>
      <c r="E4" s="7">
        <v>138649</v>
      </c>
    </row>
    <row r="5" spans="1:5" ht="15">
      <c r="A5" s="2" t="s">
        <v>14</v>
      </c>
      <c r="B5" s="2" t="s">
        <v>17</v>
      </c>
      <c r="C5" s="11">
        <v>32646</v>
      </c>
      <c r="D5" s="7">
        <v>31298</v>
      </c>
      <c r="E5" s="7">
        <v>20831</v>
      </c>
    </row>
    <row r="6" spans="1:5" ht="15">
      <c r="A6" s="2" t="s">
        <v>14</v>
      </c>
      <c r="B6" s="2" t="s">
        <v>18</v>
      </c>
      <c r="C6" s="11">
        <v>4164</v>
      </c>
      <c r="D6" s="7">
        <v>9074</v>
      </c>
      <c r="E6" s="7">
        <v>3216</v>
      </c>
    </row>
    <row r="7" spans="1:5" ht="15">
      <c r="A7" s="2" t="s">
        <v>16</v>
      </c>
      <c r="B7" s="3" t="s">
        <v>9</v>
      </c>
      <c r="C7" s="11">
        <v>25525</v>
      </c>
      <c r="D7" s="7">
        <v>6222</v>
      </c>
      <c r="E7" s="7">
        <v>6125</v>
      </c>
    </row>
    <row r="8" spans="1:5" ht="15">
      <c r="A8" s="2" t="s">
        <v>16</v>
      </c>
      <c r="B8" s="2" t="s">
        <v>19</v>
      </c>
      <c r="C8" s="11">
        <v>183878</v>
      </c>
      <c r="D8" s="7">
        <v>193028</v>
      </c>
      <c r="E8" s="7">
        <v>185602</v>
      </c>
    </row>
    <row r="9" spans="1:5" ht="15">
      <c r="A9" s="2" t="s">
        <v>16</v>
      </c>
      <c r="B9" s="2" t="s">
        <v>20</v>
      </c>
      <c r="C9" s="11">
        <v>27140</v>
      </c>
      <c r="D9" s="7">
        <v>21045</v>
      </c>
      <c r="E9" s="7">
        <v>11131</v>
      </c>
    </row>
    <row r="10" spans="1:5" ht="15">
      <c r="A10" s="1" t="s">
        <v>4</v>
      </c>
      <c r="B10" s="2" t="s">
        <v>39</v>
      </c>
      <c r="C10" s="11">
        <v>13038</v>
      </c>
      <c r="D10" s="7">
        <v>8941</v>
      </c>
      <c r="E10" s="7">
        <v>11310</v>
      </c>
    </row>
    <row r="11" spans="1:5" ht="15">
      <c r="A11" s="1" t="s">
        <v>4</v>
      </c>
      <c r="B11" s="2" t="s">
        <v>11</v>
      </c>
      <c r="C11" s="11">
        <v>23130</v>
      </c>
      <c r="D11" s="7">
        <v>18008</v>
      </c>
      <c r="E11" s="7">
        <v>18331</v>
      </c>
    </row>
    <row r="12" spans="1:5" ht="15">
      <c r="A12" s="1" t="s">
        <v>4</v>
      </c>
      <c r="B12" s="2" t="s">
        <v>21</v>
      </c>
      <c r="C12" s="11">
        <v>4263</v>
      </c>
      <c r="D12" s="7">
        <v>1940</v>
      </c>
      <c r="E12" s="7">
        <v>2260</v>
      </c>
    </row>
    <row r="13" spans="1:5" ht="15">
      <c r="A13" s="1" t="s">
        <v>4</v>
      </c>
      <c r="B13" s="2" t="s">
        <v>40</v>
      </c>
      <c r="C13" s="11">
        <v>42480</v>
      </c>
      <c r="D13" s="7">
        <v>63315</v>
      </c>
      <c r="E13" s="7">
        <v>55294</v>
      </c>
    </row>
    <row r="14" spans="1:5" ht="15">
      <c r="A14" s="1" t="s">
        <v>4</v>
      </c>
      <c r="B14" s="2" t="s">
        <v>22</v>
      </c>
      <c r="C14" s="11">
        <v>21241</v>
      </c>
      <c r="D14" s="7">
        <v>11718</v>
      </c>
      <c r="E14" s="7">
        <v>31286</v>
      </c>
    </row>
    <row r="15" spans="1:5" ht="15">
      <c r="A15" s="1" t="s">
        <v>4</v>
      </c>
      <c r="B15" s="2" t="s">
        <v>23</v>
      </c>
      <c r="C15" s="11">
        <v>9969</v>
      </c>
      <c r="D15" s="7">
        <v>7672</v>
      </c>
      <c r="E15" s="7">
        <v>9448</v>
      </c>
    </row>
    <row r="16" spans="1:5" ht="15">
      <c r="A16" s="2" t="s">
        <v>15</v>
      </c>
      <c r="B16" s="2" t="s">
        <v>40</v>
      </c>
      <c r="C16" s="11">
        <v>120098</v>
      </c>
      <c r="D16" s="7">
        <v>131384</v>
      </c>
      <c r="E16" s="7">
        <v>155453</v>
      </c>
    </row>
    <row r="17" spans="1:5" ht="15">
      <c r="A17" s="2" t="s">
        <v>15</v>
      </c>
      <c r="B17" s="2" t="s">
        <v>24</v>
      </c>
      <c r="C17" s="11">
        <v>0</v>
      </c>
      <c r="D17" s="7">
        <v>0</v>
      </c>
      <c r="E17" s="7">
        <v>744</v>
      </c>
    </row>
    <row r="18" spans="1:5" ht="15">
      <c r="A18" s="2" t="s">
        <v>15</v>
      </c>
      <c r="B18" s="2" t="s">
        <v>25</v>
      </c>
      <c r="C18" s="11">
        <v>2310</v>
      </c>
      <c r="D18" s="7">
        <v>4444</v>
      </c>
      <c r="E18" s="7">
        <v>7030</v>
      </c>
    </row>
    <row r="19" spans="1:5" ht="15">
      <c r="A19" s="2" t="s">
        <v>15</v>
      </c>
      <c r="B19" s="2" t="s">
        <v>26</v>
      </c>
      <c r="C19" s="11">
        <v>6982</v>
      </c>
      <c r="D19" s="7">
        <v>4362</v>
      </c>
      <c r="E19" s="7">
        <v>2235</v>
      </c>
    </row>
    <row r="20" spans="1:5" ht="15">
      <c r="A20" s="2" t="s">
        <v>5</v>
      </c>
      <c r="B20" s="2" t="s">
        <v>28</v>
      </c>
      <c r="C20" s="11">
        <v>304233</v>
      </c>
      <c r="D20" s="7">
        <v>304233</v>
      </c>
      <c r="E20" s="7">
        <v>184233</v>
      </c>
    </row>
    <row r="21" spans="1:5" ht="15">
      <c r="A21" s="2" t="s">
        <v>5</v>
      </c>
      <c r="B21" s="2" t="s">
        <v>29</v>
      </c>
      <c r="C21" s="11">
        <v>335</v>
      </c>
      <c r="D21" s="7">
        <v>335</v>
      </c>
      <c r="E21" s="7">
        <v>335</v>
      </c>
    </row>
    <row r="22" spans="1:5" ht="15">
      <c r="A22" s="2" t="s">
        <v>5</v>
      </c>
      <c r="B22" s="2" t="s">
        <v>30</v>
      </c>
      <c r="C22" s="11">
        <v>4698</v>
      </c>
      <c r="D22" s="7">
        <v>3444</v>
      </c>
      <c r="E22" s="7">
        <v>3444</v>
      </c>
    </row>
    <row r="23" spans="1:5" ht="15">
      <c r="A23" s="2" t="s">
        <v>5</v>
      </c>
      <c r="B23" s="2" t="s">
        <v>31</v>
      </c>
      <c r="C23" s="11">
        <v>26100</v>
      </c>
      <c r="D23" s="7">
        <v>8827</v>
      </c>
      <c r="E23" s="7">
        <v>24868</v>
      </c>
    </row>
    <row r="24" spans="1:5" ht="15">
      <c r="A24" s="2" t="s">
        <v>5</v>
      </c>
      <c r="B24" s="2" t="s">
        <v>41</v>
      </c>
      <c r="C24" s="11">
        <v>-2566</v>
      </c>
      <c r="D24" s="7">
        <v>-2166</v>
      </c>
      <c r="E24" s="7">
        <v>-1006</v>
      </c>
    </row>
    <row r="25" spans="1:5" ht="15">
      <c r="A25" s="2" t="s">
        <v>6</v>
      </c>
      <c r="B25" s="2" t="s">
        <v>7</v>
      </c>
      <c r="C25" s="11">
        <v>562531</v>
      </c>
      <c r="D25" s="7">
        <v>469315</v>
      </c>
      <c r="E25" s="7">
        <v>638738</v>
      </c>
    </row>
    <row r="26" spans="1:5" ht="15">
      <c r="A26" s="2" t="s">
        <v>8</v>
      </c>
      <c r="B26" s="2" t="s">
        <v>32</v>
      </c>
      <c r="C26" s="11">
        <v>-406600</v>
      </c>
      <c r="D26" s="7">
        <v>-343501</v>
      </c>
      <c r="E26" s="7">
        <v>-477338</v>
      </c>
    </row>
    <row r="27" spans="1:5" ht="15">
      <c r="A27" s="2" t="s">
        <v>8</v>
      </c>
      <c r="B27" s="2" t="s">
        <v>33</v>
      </c>
      <c r="C27" s="11">
        <v>-99863</v>
      </c>
      <c r="D27" s="7">
        <v>-96260</v>
      </c>
      <c r="E27" s="7">
        <v>-105403</v>
      </c>
    </row>
    <row r="28" spans="1:5" ht="15">
      <c r="A28" s="2" t="s">
        <v>8</v>
      </c>
      <c r="B28" s="2" t="s">
        <v>34</v>
      </c>
      <c r="C28" s="11">
        <v>-39753</v>
      </c>
      <c r="D28" s="7">
        <v>-52377</v>
      </c>
      <c r="E28" s="7">
        <v>-29456</v>
      </c>
    </row>
    <row r="29" spans="1:5" ht="15">
      <c r="A29" s="2" t="s">
        <v>6</v>
      </c>
      <c r="B29" s="2" t="s">
        <v>35</v>
      </c>
      <c r="C29" s="11">
        <v>18520</v>
      </c>
      <c r="D29" s="7">
        <v>622</v>
      </c>
      <c r="E29" s="7">
        <v>2612</v>
      </c>
    </row>
    <row r="30" spans="1:5" ht="15">
      <c r="A30" s="2" t="s">
        <v>8</v>
      </c>
      <c r="B30" s="2" t="s">
        <v>36</v>
      </c>
      <c r="C30" s="11">
        <v>-1528</v>
      </c>
      <c r="D30" s="7">
        <v>-118</v>
      </c>
      <c r="E30" s="7">
        <v>-1873</v>
      </c>
    </row>
    <row r="31" spans="1:5" ht="15">
      <c r="A31" s="1" t="s">
        <v>6</v>
      </c>
      <c r="B31" s="2" t="s">
        <v>37</v>
      </c>
      <c r="C31" s="11">
        <v>21276</v>
      </c>
      <c r="D31" s="7">
        <v>34148</v>
      </c>
      <c r="E31" s="7">
        <v>28592</v>
      </c>
    </row>
    <row r="32" spans="1:5" ht="15">
      <c r="A32" s="1" t="s">
        <v>8</v>
      </c>
      <c r="B32" s="2" t="s">
        <v>27</v>
      </c>
      <c r="C32" s="11">
        <f>-25728-4171</f>
        <v>-29899</v>
      </c>
      <c r="D32" s="7">
        <f>-26990+150</f>
        <v>-26840</v>
      </c>
      <c r="E32" s="7">
        <f>-23599+691</f>
        <v>-22908</v>
      </c>
    </row>
  </sheetData>
  <phoneticPr fontId="7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BF11-339C-45DE-B1A9-2532B147995A}">
  <dimension ref="A1:A4"/>
  <sheetViews>
    <sheetView workbookViewId="0">
      <selection activeCell="A4" sqref="A4"/>
    </sheetView>
  </sheetViews>
  <sheetFormatPr baseColWidth="10" defaultRowHeight="14.25"/>
  <cols>
    <col min="1" max="1" width="98.375" customWidth="1"/>
  </cols>
  <sheetData>
    <row r="1" spans="1:1" ht="18">
      <c r="A1" s="9" t="s">
        <v>42</v>
      </c>
    </row>
    <row r="2" spans="1:1" ht="45">
      <c r="A2" s="10" t="s">
        <v>43</v>
      </c>
    </row>
    <row r="3" spans="1:1" ht="45">
      <c r="A3" s="10" t="s">
        <v>44</v>
      </c>
    </row>
    <row r="4" spans="1:1" ht="45">
      <c r="A4" s="1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EEFF_datos</vt:lpstr>
      <vt:lpstr>Ratios_definiciones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Perdomo</dc:creator>
  <cp:lastModifiedBy>Raul aroni</cp:lastModifiedBy>
  <dcterms:created xsi:type="dcterms:W3CDTF">2025-08-02T19:59:01Z</dcterms:created>
  <dcterms:modified xsi:type="dcterms:W3CDTF">2026-06-20T15:31:08Z</dcterms:modified>
</cp:coreProperties>
</file>